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أغذية (لكل 100ج)" sheetId="1" state="visible" r:id="rId1"/>
    <sheet xmlns:r="http://schemas.openxmlformats.org/officeDocument/2006/relationships" name="حاسبة الوجبات التفاعل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F7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4" customWidth="1" min="3" max="3"/>
    <col width="16" customWidth="1" min="4" max="4"/>
    <col width="18" customWidth="1" min="5" max="5"/>
    <col width="16" customWidth="1" min="6" max="6"/>
  </cols>
  <sheetData>
    <row r="1">
      <c r="A1" s="1" t="inlineStr">
        <is>
          <t>اسم الصنف (Food Item)</t>
        </is>
      </c>
      <c r="B1" s="1" t="inlineStr">
        <is>
          <t>التصنيف (Category)</t>
        </is>
      </c>
      <c r="C1" s="1" t="inlineStr">
        <is>
          <t>السعرات لكل 100ج (kcal)</t>
        </is>
      </c>
      <c r="D1" s="1" t="inlineStr">
        <is>
          <t>البروتين (g)</t>
        </is>
      </c>
      <c r="E1" s="1" t="inlineStr">
        <is>
          <t>الكربوهيدرات (g)</t>
        </is>
      </c>
      <c r="F1" s="1" t="inlineStr">
        <is>
          <t>الدهون (g)</t>
        </is>
      </c>
    </row>
    <row r="2">
      <c r="A2" s="2" t="inlineStr">
        <is>
          <t>الجنبة الرومي</t>
        </is>
      </c>
      <c r="B2" s="2" t="inlineStr">
        <is>
          <t>الألبان والمنتجات اللبنية</t>
        </is>
      </c>
      <c r="C2" s="3" t="n">
        <v>374</v>
      </c>
      <c r="D2" s="3" t="n">
        <v>25</v>
      </c>
      <c r="E2" s="3" t="n">
        <v>1</v>
      </c>
      <c r="F2" s="3" t="n">
        <v>30</v>
      </c>
    </row>
    <row r="3">
      <c r="A3" s="4" t="inlineStr">
        <is>
          <t>الزبادي الخالي الدسم</t>
        </is>
      </c>
      <c r="B3" s="4" t="inlineStr">
        <is>
          <t>الألبان والمنتجات اللبنية</t>
        </is>
      </c>
      <c r="C3" s="5" t="n">
        <v>56</v>
      </c>
      <c r="D3" s="5" t="n">
        <v>5.7</v>
      </c>
      <c r="E3" s="5" t="n">
        <v>7.7</v>
      </c>
      <c r="F3" s="5" t="n">
        <v>0.2</v>
      </c>
    </row>
    <row r="4">
      <c r="A4" s="2" t="inlineStr">
        <is>
          <t>الزبادي الكامل الدسم</t>
        </is>
      </c>
      <c r="B4" s="2" t="inlineStr">
        <is>
          <t>الألبان والمنتجات اللبنية</t>
        </is>
      </c>
      <c r="C4" s="3" t="n">
        <v>95</v>
      </c>
      <c r="D4" s="3" t="n">
        <v>2.9</v>
      </c>
      <c r="E4" s="3" t="n">
        <v>13</v>
      </c>
      <c r="F4" s="3" t="n">
        <v>2.7</v>
      </c>
    </row>
    <row r="5">
      <c r="A5" s="4" t="inlineStr">
        <is>
          <t>اللبن الرايب</t>
        </is>
      </c>
      <c r="B5" s="4" t="inlineStr">
        <is>
          <t>الألبان والمنتجات اللبنية</t>
        </is>
      </c>
      <c r="C5" s="5" t="n">
        <v>60</v>
      </c>
      <c r="D5" s="5" t="n">
        <v>3</v>
      </c>
      <c r="E5" s="5" t="n">
        <v>5</v>
      </c>
      <c r="F5" s="5" t="n">
        <v>3</v>
      </c>
    </row>
    <row r="6">
      <c r="A6" s="2" t="inlineStr">
        <is>
          <t>جبنة شيدر</t>
        </is>
      </c>
      <c r="B6" s="2" t="inlineStr">
        <is>
          <t>الألبان والمنتجات اللبنية</t>
        </is>
      </c>
      <c r="C6" s="3" t="n">
        <v>374</v>
      </c>
      <c r="D6" s="3" t="n">
        <v>25</v>
      </c>
      <c r="E6" s="3" t="n">
        <v>1</v>
      </c>
      <c r="F6" s="3" t="n">
        <v>30</v>
      </c>
    </row>
    <row r="7">
      <c r="A7" s="4" t="inlineStr">
        <is>
          <t>جبنة قريش</t>
        </is>
      </c>
      <c r="B7" s="4" t="inlineStr">
        <is>
          <t>الألبان والمنتجات اللبنية</t>
        </is>
      </c>
      <c r="C7" s="5" t="n">
        <v>103</v>
      </c>
      <c r="D7" s="5" t="n">
        <v>12.5</v>
      </c>
      <c r="E7" s="5" t="n">
        <v>2.7</v>
      </c>
      <c r="F7" s="5" t="n">
        <v>4.5</v>
      </c>
    </row>
    <row r="8">
      <c r="A8" s="2" t="inlineStr">
        <is>
          <t>جبنة مثلثات</t>
        </is>
      </c>
      <c r="B8" s="2" t="inlineStr">
        <is>
          <t>الألبان والمنتجات اللبنية</t>
        </is>
      </c>
      <c r="C8" s="3" t="n">
        <v>349</v>
      </c>
      <c r="D8" s="3" t="n">
        <v>7.5</v>
      </c>
      <c r="E8" s="3" t="n">
        <v>2.7</v>
      </c>
      <c r="F8" s="3" t="n">
        <v>34.9</v>
      </c>
    </row>
    <row r="9">
      <c r="A9" s="4" t="inlineStr">
        <is>
          <t>لبن خالي الدسم</t>
        </is>
      </c>
      <c r="B9" s="4" t="inlineStr">
        <is>
          <t>الألبان والمنتجات اللبنية</t>
        </is>
      </c>
      <c r="C9" s="5" t="n">
        <v>35</v>
      </c>
      <c r="D9" s="5" t="n">
        <v>3</v>
      </c>
      <c r="E9" s="5" t="n">
        <v>5</v>
      </c>
      <c r="F9" s="5" t="n">
        <v>3</v>
      </c>
    </row>
    <row r="10">
      <c r="A10" s="2" t="inlineStr">
        <is>
          <t>لبن كامل الدسم</t>
        </is>
      </c>
      <c r="B10" s="2" t="inlineStr">
        <is>
          <t>الألبان والمنتجات اللبنية</t>
        </is>
      </c>
      <c r="C10" s="3" t="n">
        <v>60</v>
      </c>
      <c r="D10" s="3" t="n">
        <v>3</v>
      </c>
      <c r="E10" s="3" t="n">
        <v>5</v>
      </c>
      <c r="F10" s="3" t="n">
        <v>3</v>
      </c>
    </row>
    <row r="11">
      <c r="A11" s="4" t="inlineStr">
        <is>
          <t>الترمس</t>
        </is>
      </c>
      <c r="B11" s="4" t="inlineStr">
        <is>
          <t>البقوليات والنشويات المعقدة</t>
        </is>
      </c>
      <c r="C11" s="5" t="n">
        <v>120</v>
      </c>
      <c r="D11" s="5" t="n">
        <v>16</v>
      </c>
      <c r="E11" s="5" t="n">
        <v>10</v>
      </c>
      <c r="F11" s="5" t="n">
        <v>3</v>
      </c>
    </row>
    <row r="12">
      <c r="A12" s="2" t="inlineStr">
        <is>
          <t>الحمص</t>
        </is>
      </c>
      <c r="B12" s="2" t="inlineStr">
        <is>
          <t>البقوليات والنشويات المعقدة</t>
        </is>
      </c>
      <c r="C12" s="3" t="n">
        <v>364</v>
      </c>
      <c r="D12" s="3" t="n">
        <v>19</v>
      </c>
      <c r="E12" s="3" t="n">
        <v>61</v>
      </c>
      <c r="F12" s="3" t="n">
        <v>6</v>
      </c>
    </row>
    <row r="13">
      <c r="A13" s="4" t="inlineStr">
        <is>
          <t>العدس</t>
        </is>
      </c>
      <c r="B13" s="4" t="inlineStr">
        <is>
          <t>البقوليات والنشويات المعقدة</t>
        </is>
      </c>
      <c r="C13" s="5" t="n">
        <v>350</v>
      </c>
      <c r="D13" s="5" t="n">
        <v>26</v>
      </c>
      <c r="E13" s="5" t="n">
        <v>60</v>
      </c>
      <c r="F13" s="5" t="n">
        <v>1</v>
      </c>
    </row>
    <row r="14">
      <c r="A14" s="2" t="inlineStr">
        <is>
          <t>فصولياء بيضاء</t>
        </is>
      </c>
      <c r="B14" s="2" t="inlineStr">
        <is>
          <t>البقوليات والنشويات المعقدة</t>
        </is>
      </c>
      <c r="C14" s="3" t="n">
        <v>333</v>
      </c>
      <c r="D14" s="3" t="n">
        <v>24</v>
      </c>
      <c r="E14" s="3" t="n">
        <v>60</v>
      </c>
      <c r="F14" s="3" t="n">
        <v>0.8</v>
      </c>
    </row>
    <row r="15">
      <c r="A15" s="4" t="inlineStr">
        <is>
          <t>لوبياء</t>
        </is>
      </c>
      <c r="B15" s="4" t="inlineStr">
        <is>
          <t>البقوليات والنشويات المعقدة</t>
        </is>
      </c>
      <c r="C15" s="5" t="n">
        <v>90</v>
      </c>
      <c r="D15" s="5" t="n">
        <v>3</v>
      </c>
      <c r="E15" s="5" t="n">
        <v>19</v>
      </c>
      <c r="F15" s="5" t="n">
        <v>0.4</v>
      </c>
    </row>
    <row r="16">
      <c r="A16" s="2" t="inlineStr">
        <is>
          <t>الباذنجان</t>
        </is>
      </c>
      <c r="B16" s="2" t="inlineStr">
        <is>
          <t>الخضراوات</t>
        </is>
      </c>
      <c r="C16" s="3" t="n">
        <v>25</v>
      </c>
      <c r="D16" s="3" t="n">
        <v>1</v>
      </c>
      <c r="E16" s="3" t="n">
        <v>6</v>
      </c>
      <c r="F16" s="3" t="n">
        <v>0.2</v>
      </c>
    </row>
    <row r="17">
      <c r="A17" s="4" t="inlineStr">
        <is>
          <t>البامية</t>
        </is>
      </c>
      <c r="B17" s="4" t="inlineStr">
        <is>
          <t>الخضراوات</t>
        </is>
      </c>
      <c r="C17" s="5" t="n">
        <v>33</v>
      </c>
      <c r="D17" s="5" t="n">
        <v>1.9</v>
      </c>
      <c r="E17" s="5" t="n">
        <v>7</v>
      </c>
      <c r="F17" s="5" t="n">
        <v>0.2</v>
      </c>
    </row>
    <row r="18">
      <c r="A18" s="2" t="inlineStr">
        <is>
          <t>البسلة</t>
        </is>
      </c>
      <c r="B18" s="2" t="inlineStr">
        <is>
          <t>الخضراوات</t>
        </is>
      </c>
      <c r="C18" s="3" t="n">
        <v>81</v>
      </c>
      <c r="D18" s="3" t="n">
        <v>5</v>
      </c>
      <c r="E18" s="3" t="n">
        <v>14</v>
      </c>
      <c r="F18" s="3" t="n">
        <v>0.4</v>
      </c>
    </row>
    <row r="19">
      <c r="A19" s="4" t="inlineStr">
        <is>
          <t>الجزر</t>
        </is>
      </c>
      <c r="B19" s="4" t="inlineStr">
        <is>
          <t>الخضراوات</t>
        </is>
      </c>
      <c r="C19" s="5" t="n">
        <v>41</v>
      </c>
      <c r="D19" s="5" t="n">
        <v>0.9</v>
      </c>
      <c r="E19" s="5" t="n">
        <v>9.6</v>
      </c>
      <c r="F19" s="5" t="n">
        <v>0.2</v>
      </c>
    </row>
    <row r="20">
      <c r="A20" s="2" t="inlineStr">
        <is>
          <t>الخس</t>
        </is>
      </c>
      <c r="B20" s="2" t="inlineStr">
        <is>
          <t>الخضراوات</t>
        </is>
      </c>
      <c r="C20" s="3" t="n">
        <v>14</v>
      </c>
      <c r="D20" s="3" t="n">
        <v>0.9</v>
      </c>
      <c r="E20" s="3" t="n">
        <v>3</v>
      </c>
      <c r="F20" s="3" t="n">
        <v>0.1</v>
      </c>
    </row>
    <row r="21">
      <c r="A21" s="4" t="inlineStr">
        <is>
          <t>الفلفل</t>
        </is>
      </c>
      <c r="B21" s="4" t="inlineStr">
        <is>
          <t>الخضراوات</t>
        </is>
      </c>
      <c r="C21" s="5" t="n">
        <v>26</v>
      </c>
      <c r="D21" s="5" t="n">
        <v>1</v>
      </c>
      <c r="E21" s="5" t="n">
        <v>6</v>
      </c>
      <c r="F21" s="5" t="n">
        <v>0.3</v>
      </c>
    </row>
    <row r="22">
      <c r="A22" s="2" t="inlineStr">
        <is>
          <t>القرنبيط</t>
        </is>
      </c>
      <c r="B22" s="2" t="inlineStr">
        <is>
          <t>الخضراوات</t>
        </is>
      </c>
      <c r="C22" s="3" t="n">
        <v>25</v>
      </c>
      <c r="D22" s="3" t="n">
        <v>2</v>
      </c>
      <c r="E22" s="3" t="n">
        <v>5.3</v>
      </c>
      <c r="F22" s="3" t="n">
        <v>0.1</v>
      </c>
    </row>
    <row r="23">
      <c r="A23" s="4" t="inlineStr">
        <is>
          <t>الكوسة</t>
        </is>
      </c>
      <c r="B23" s="4" t="inlineStr">
        <is>
          <t>الخضراوات</t>
        </is>
      </c>
      <c r="C23" s="5" t="n">
        <v>17</v>
      </c>
      <c r="D23" s="5" t="n">
        <v>1.2</v>
      </c>
      <c r="E23" s="5" t="n">
        <v>3.1</v>
      </c>
      <c r="F23" s="5" t="n">
        <v>0.3</v>
      </c>
    </row>
    <row r="24">
      <c r="A24" s="2" t="inlineStr">
        <is>
          <t>المشروم</t>
        </is>
      </c>
      <c r="B24" s="2" t="inlineStr">
        <is>
          <t>الخضراوات</t>
        </is>
      </c>
      <c r="C24" s="3" t="n">
        <v>22</v>
      </c>
      <c r="D24" s="3" t="n">
        <v>3.1</v>
      </c>
      <c r="E24" s="3" t="n">
        <v>3.3</v>
      </c>
      <c r="F24" s="3" t="n">
        <v>0.3</v>
      </c>
    </row>
    <row r="25">
      <c r="A25" s="4" t="inlineStr">
        <is>
          <t>بروكلي</t>
        </is>
      </c>
      <c r="B25" s="4" t="inlineStr">
        <is>
          <t>الخضراوات</t>
        </is>
      </c>
      <c r="C25" s="5" t="n">
        <v>34</v>
      </c>
      <c r="D25" s="5" t="n">
        <v>2.8</v>
      </c>
      <c r="E25" s="5" t="n">
        <v>6.6</v>
      </c>
      <c r="F25" s="5" t="n">
        <v>0.4</v>
      </c>
    </row>
    <row r="26">
      <c r="A26" s="2" t="inlineStr">
        <is>
          <t>بقدونس</t>
        </is>
      </c>
      <c r="B26" s="2" t="inlineStr">
        <is>
          <t>الخضراوات</t>
        </is>
      </c>
      <c r="C26" s="3" t="n">
        <v>36</v>
      </c>
      <c r="D26" s="3" t="n">
        <v>3</v>
      </c>
      <c r="E26" s="3" t="n">
        <v>5.3</v>
      </c>
      <c r="F26" s="3" t="n">
        <v>0.6</v>
      </c>
    </row>
    <row r="27">
      <c r="A27" s="4" t="inlineStr">
        <is>
          <t>جرجير</t>
        </is>
      </c>
      <c r="B27" s="4" t="inlineStr">
        <is>
          <t>الخضراوات</t>
        </is>
      </c>
      <c r="C27" s="5" t="n">
        <v>11</v>
      </c>
      <c r="D27" s="5" t="n">
        <v>2.3</v>
      </c>
      <c r="E27" s="5" t="n">
        <v>1.3</v>
      </c>
      <c r="F27" s="5" t="n">
        <v>0.1</v>
      </c>
    </row>
    <row r="28">
      <c r="A28" s="2" t="inlineStr">
        <is>
          <t>خيار</t>
        </is>
      </c>
      <c r="B28" s="2" t="inlineStr">
        <is>
          <t>الخضراوات</t>
        </is>
      </c>
      <c r="C28" s="3" t="n">
        <v>15</v>
      </c>
      <c r="D28" s="3" t="n">
        <v>0.7</v>
      </c>
      <c r="E28" s="3" t="n">
        <v>3.6</v>
      </c>
      <c r="F28" s="3" t="n">
        <v>0.1</v>
      </c>
    </row>
    <row r="29">
      <c r="A29" s="4" t="inlineStr">
        <is>
          <t>سلطة خضراء</t>
        </is>
      </c>
      <c r="B29" s="4" t="inlineStr">
        <is>
          <t>الخضراوات</t>
        </is>
      </c>
      <c r="C29" s="5" t="n">
        <v>40</v>
      </c>
      <c r="D29" s="5" t="n">
        <v>0</v>
      </c>
      <c r="E29" s="5" t="n">
        <v>0</v>
      </c>
      <c r="F29" s="5" t="n">
        <v>0</v>
      </c>
    </row>
    <row r="30">
      <c r="A30" s="2" t="inlineStr">
        <is>
          <t>شبت</t>
        </is>
      </c>
      <c r="B30" s="2" t="inlineStr">
        <is>
          <t>الخضراوات</t>
        </is>
      </c>
      <c r="C30" s="3" t="n">
        <v>43</v>
      </c>
      <c r="D30" s="3" t="n">
        <v>3.5</v>
      </c>
      <c r="E30" s="3" t="n">
        <v>7</v>
      </c>
      <c r="F30" s="3" t="n">
        <v>1.1</v>
      </c>
    </row>
    <row r="31">
      <c r="A31" s="4" t="inlineStr">
        <is>
          <t>طماطم</t>
        </is>
      </c>
      <c r="B31" s="4" t="inlineStr">
        <is>
          <t>الخضراوات</t>
        </is>
      </c>
      <c r="C31" s="5" t="n">
        <v>18</v>
      </c>
      <c r="D31" s="5" t="n">
        <v>0.9</v>
      </c>
      <c r="E31" s="5" t="n">
        <v>3.9</v>
      </c>
      <c r="F31" s="5" t="n">
        <v>0.2</v>
      </c>
    </row>
    <row r="32">
      <c r="A32" s="2" t="inlineStr">
        <is>
          <t>فاصولياء خضراء</t>
        </is>
      </c>
      <c r="B32" s="2" t="inlineStr">
        <is>
          <t>الخضراوات</t>
        </is>
      </c>
      <c r="C32" s="3" t="n">
        <v>31</v>
      </c>
      <c r="D32" s="3" t="n">
        <v>1.8</v>
      </c>
      <c r="E32" s="3" t="n">
        <v>7</v>
      </c>
      <c r="F32" s="3" t="n">
        <v>0.1</v>
      </c>
    </row>
    <row r="33">
      <c r="A33" s="4" t="inlineStr">
        <is>
          <t>الموز</t>
        </is>
      </c>
      <c r="B33" s="4" t="inlineStr">
        <is>
          <t>الفواكه</t>
        </is>
      </c>
      <c r="C33" s="5" t="n">
        <v>89</v>
      </c>
      <c r="D33" s="5" t="n">
        <v>1.1</v>
      </c>
      <c r="E33" s="5" t="n">
        <v>22.8</v>
      </c>
      <c r="F33" s="5" t="n">
        <v>0.3</v>
      </c>
    </row>
    <row r="34">
      <c r="A34" s="2" t="inlineStr">
        <is>
          <t>برتقال</t>
        </is>
      </c>
      <c r="B34" s="2" t="inlineStr">
        <is>
          <t>الفواكه</t>
        </is>
      </c>
      <c r="C34" s="3" t="n">
        <v>47</v>
      </c>
      <c r="D34" s="3" t="n">
        <v>0.9</v>
      </c>
      <c r="E34" s="3" t="n">
        <v>11.8</v>
      </c>
      <c r="F34" s="3" t="n">
        <v>0.1</v>
      </c>
    </row>
    <row r="35">
      <c r="A35" s="4" t="inlineStr">
        <is>
          <t>بلح</t>
        </is>
      </c>
      <c r="B35" s="4" t="inlineStr">
        <is>
          <t>الفواكه</t>
        </is>
      </c>
      <c r="C35" s="5" t="n">
        <v>282</v>
      </c>
      <c r="D35" s="5" t="n">
        <v>2.5</v>
      </c>
      <c r="E35" s="5" t="n">
        <v>75</v>
      </c>
      <c r="F35" s="5" t="n">
        <v>0.4</v>
      </c>
    </row>
    <row r="36">
      <c r="A36" s="2" t="inlineStr">
        <is>
          <t>تفاح</t>
        </is>
      </c>
      <c r="B36" s="2" t="inlineStr">
        <is>
          <t>الفواكه</t>
        </is>
      </c>
      <c r="C36" s="3" t="n">
        <v>52</v>
      </c>
      <c r="D36" s="3" t="n">
        <v>0.3</v>
      </c>
      <c r="E36" s="3" t="n">
        <v>13.8</v>
      </c>
      <c r="F36" s="3" t="n">
        <v>0.2</v>
      </c>
    </row>
    <row r="37">
      <c r="A37" s="4" t="inlineStr">
        <is>
          <t>يوسفي</t>
        </is>
      </c>
      <c r="B37" s="4" t="inlineStr">
        <is>
          <t>الفواكه</t>
        </is>
      </c>
      <c r="C37" s="5" t="n">
        <v>53</v>
      </c>
      <c r="D37" s="5" t="n">
        <v>0.8</v>
      </c>
      <c r="E37" s="5" t="n">
        <v>13.3</v>
      </c>
      <c r="F37" s="5" t="n">
        <v>0.3</v>
      </c>
    </row>
    <row r="38">
      <c r="A38" s="2" t="inlineStr">
        <is>
          <t>ارز ابيض مسلوق</t>
        </is>
      </c>
      <c r="B38" s="2" t="inlineStr">
        <is>
          <t>الكربوهيدرات والنشويات</t>
        </is>
      </c>
      <c r="C38" s="3" t="n">
        <v>129</v>
      </c>
      <c r="D38" s="3" t="n">
        <v>2.7</v>
      </c>
      <c r="E38" s="3" t="n">
        <v>27.9</v>
      </c>
      <c r="F38" s="3" t="n">
        <v>0.3</v>
      </c>
    </row>
    <row r="39">
      <c r="A39" s="4" t="inlineStr">
        <is>
          <t>ارز بسمتي مسلوق</t>
        </is>
      </c>
      <c r="B39" s="4" t="inlineStr">
        <is>
          <t>الكربوهيدرات والنشويات</t>
        </is>
      </c>
      <c r="C39" s="5" t="n">
        <v>120</v>
      </c>
      <c r="D39" s="5" t="n">
        <v>3.5</v>
      </c>
      <c r="E39" s="5" t="n">
        <v>23.5</v>
      </c>
      <c r="F39" s="5" t="n">
        <v>0.9</v>
      </c>
    </row>
    <row r="40">
      <c r="A40" s="2" t="inlineStr">
        <is>
          <t>ارز بني مسلوق</t>
        </is>
      </c>
      <c r="B40" s="2" t="inlineStr">
        <is>
          <t>الكربوهيدرات والنشويات</t>
        </is>
      </c>
      <c r="C40" s="3" t="n">
        <v>112</v>
      </c>
      <c r="D40" s="3" t="n">
        <v>2.3</v>
      </c>
      <c r="E40" s="3" t="n">
        <v>23.6</v>
      </c>
      <c r="F40" s="3" t="n">
        <v>0.9</v>
      </c>
    </row>
    <row r="41">
      <c r="A41" s="4" t="inlineStr">
        <is>
          <t>البطاطا</t>
        </is>
      </c>
      <c r="B41" s="4" t="inlineStr">
        <is>
          <t>الكربوهيدرات والنشويات</t>
        </is>
      </c>
      <c r="C41" s="5" t="n">
        <v>76</v>
      </c>
      <c r="D41" s="5" t="n">
        <v>1.4</v>
      </c>
      <c r="E41" s="5" t="n">
        <v>17.7</v>
      </c>
      <c r="F41" s="5" t="n">
        <v>0.1</v>
      </c>
    </row>
    <row r="42">
      <c r="A42" s="2" t="inlineStr">
        <is>
          <t>البطاطس المسلوقة</t>
        </is>
      </c>
      <c r="B42" s="2" t="inlineStr">
        <is>
          <t>الكربوهيدرات والنشويات</t>
        </is>
      </c>
      <c r="C42" s="3" t="n">
        <v>103</v>
      </c>
      <c r="D42" s="3" t="n">
        <v>1.8</v>
      </c>
      <c r="E42" s="3" t="n">
        <v>19.5</v>
      </c>
      <c r="F42" s="3" t="n">
        <v>2.2</v>
      </c>
    </row>
    <row r="43">
      <c r="A43" s="4" t="inlineStr">
        <is>
          <t>الشوفان</t>
        </is>
      </c>
      <c r="B43" s="4" t="inlineStr">
        <is>
          <t>الكربوهيدرات والنشويات</t>
        </is>
      </c>
      <c r="C43" s="5" t="n">
        <v>347</v>
      </c>
      <c r="D43" s="5" t="n">
        <v>14</v>
      </c>
      <c r="E43" s="5" t="n">
        <v>57</v>
      </c>
      <c r="F43" s="5" t="n">
        <v>7</v>
      </c>
    </row>
    <row r="44">
      <c r="A44" s="2" t="inlineStr">
        <is>
          <t>الفول المسلوق</t>
        </is>
      </c>
      <c r="B44" s="2" t="inlineStr">
        <is>
          <t>الكربوهيدرات والنشويات</t>
        </is>
      </c>
      <c r="C44" s="3" t="n">
        <v>110</v>
      </c>
      <c r="D44" s="3" t="n">
        <v>7.6</v>
      </c>
      <c r="E44" s="3" t="n">
        <v>19.7</v>
      </c>
      <c r="F44" s="3" t="n">
        <v>0</v>
      </c>
    </row>
    <row r="45">
      <c r="A45" s="4" t="inlineStr">
        <is>
          <t>خبز ابيض</t>
        </is>
      </c>
      <c r="B45" s="4" t="inlineStr">
        <is>
          <t>الكربوهيدرات والنشويات</t>
        </is>
      </c>
      <c r="C45" s="5" t="n">
        <v>275</v>
      </c>
      <c r="D45" s="5" t="n">
        <v>7.6</v>
      </c>
      <c r="E45" s="5" t="n">
        <v>50.6</v>
      </c>
      <c r="F45" s="5" t="n">
        <v>3.3</v>
      </c>
    </row>
    <row r="46">
      <c r="A46" s="2" t="inlineStr">
        <is>
          <t>خبز السن</t>
        </is>
      </c>
      <c r="B46" s="2" t="inlineStr">
        <is>
          <t>الكربوهيدرات والنشويات</t>
        </is>
      </c>
      <c r="C46" s="3" t="n">
        <v>366</v>
      </c>
      <c r="D46" s="3" t="n">
        <v>8</v>
      </c>
      <c r="E46" s="3" t="n">
        <v>82</v>
      </c>
      <c r="F46" s="3" t="n">
        <v>1.3</v>
      </c>
    </row>
    <row r="47">
      <c r="A47" s="4" t="inlineStr">
        <is>
          <t>خبز بني كامل</t>
        </is>
      </c>
      <c r="B47" s="4" t="inlineStr">
        <is>
          <t>الكربوهيدرات والنشويات</t>
        </is>
      </c>
      <c r="C47" s="5" t="n">
        <v>266</v>
      </c>
      <c r="D47" s="5" t="n">
        <v>9</v>
      </c>
      <c r="E47" s="5" t="n">
        <v>55</v>
      </c>
      <c r="F47" s="5" t="n">
        <v>2.6</v>
      </c>
    </row>
    <row r="48">
      <c r="A48" s="2" t="inlineStr">
        <is>
          <t>رقاق</t>
        </is>
      </c>
      <c r="B48" s="2" t="inlineStr">
        <is>
          <t>الكربوهيدرات والنشويات</t>
        </is>
      </c>
      <c r="C48" s="3" t="n">
        <v>265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عسل النحل</t>
        </is>
      </c>
      <c r="B49" s="4" t="inlineStr">
        <is>
          <t>الكربوهيدرات والنشويات</t>
        </is>
      </c>
      <c r="C49" s="5" t="n">
        <v>304</v>
      </c>
      <c r="D49" s="5" t="n">
        <v>0.4</v>
      </c>
      <c r="E49" s="5" t="n">
        <v>82.40000000000001</v>
      </c>
      <c r="F49" s="5" t="n">
        <v>0</v>
      </c>
    </row>
    <row r="50">
      <c r="A50" s="2" t="inlineStr">
        <is>
          <t>مكرونة مسلوقة</t>
        </is>
      </c>
      <c r="B50" s="2" t="inlineStr">
        <is>
          <t>الكربوهيدرات والنشويات</t>
        </is>
      </c>
      <c r="C50" s="3" t="n">
        <v>126</v>
      </c>
      <c r="D50" s="3" t="n">
        <v>3</v>
      </c>
      <c r="E50" s="3" t="n">
        <v>28</v>
      </c>
      <c r="F50" s="3" t="n">
        <v>1</v>
      </c>
    </row>
    <row r="51">
      <c r="A51" s="4" t="inlineStr">
        <is>
          <t>البسطرمة</t>
        </is>
      </c>
      <c r="B51" s="4" t="inlineStr">
        <is>
          <t>اللحوم والدواجن والأسماك والبيض</t>
        </is>
      </c>
      <c r="C51" s="5" t="n">
        <v>105</v>
      </c>
      <c r="D51" s="5" t="n">
        <v>22.7</v>
      </c>
      <c r="E51" s="5" t="n">
        <v>0.2</v>
      </c>
      <c r="F51" s="5" t="n">
        <v>1.5</v>
      </c>
    </row>
    <row r="52">
      <c r="A52" s="2" t="inlineStr">
        <is>
          <t>التونة</t>
        </is>
      </c>
      <c r="B52" s="2" t="inlineStr">
        <is>
          <t>اللحوم والدواجن والأسماك والبيض</t>
        </is>
      </c>
      <c r="C52" s="3" t="n">
        <v>128</v>
      </c>
      <c r="D52" s="3" t="n">
        <v>23.6</v>
      </c>
      <c r="E52" s="3" t="n">
        <v>0</v>
      </c>
      <c r="F52" s="3" t="n">
        <v>1.5</v>
      </c>
    </row>
    <row r="53">
      <c r="A53" s="4" t="inlineStr">
        <is>
          <t>الجمبري</t>
        </is>
      </c>
      <c r="B53" s="4" t="inlineStr">
        <is>
          <t>اللحوم والدواجن والأسماك والبيض</t>
        </is>
      </c>
      <c r="C53" s="5" t="n">
        <v>154</v>
      </c>
      <c r="D53" s="5" t="n">
        <v>24.5</v>
      </c>
      <c r="E53" s="5" t="n">
        <v>1.2</v>
      </c>
      <c r="F53" s="5" t="n">
        <v>5</v>
      </c>
    </row>
    <row r="54">
      <c r="A54" s="2" t="inlineStr">
        <is>
          <t>السمك البلطي</t>
        </is>
      </c>
      <c r="B54" s="2" t="inlineStr">
        <is>
          <t>اللحوم والدواجن والأسماك والبيض</t>
        </is>
      </c>
      <c r="C54" s="3" t="n">
        <v>128</v>
      </c>
      <c r="D54" s="3" t="n">
        <v>26</v>
      </c>
      <c r="E54" s="3" t="n">
        <v>0</v>
      </c>
      <c r="F54" s="3" t="n">
        <v>3</v>
      </c>
    </row>
    <row r="55">
      <c r="A55" s="4" t="inlineStr">
        <is>
          <t>السمك البوري</t>
        </is>
      </c>
      <c r="B55" s="4" t="inlineStr">
        <is>
          <t>اللحوم والدواجن والأسماك والبيض</t>
        </is>
      </c>
      <c r="C55" s="5" t="n">
        <v>150</v>
      </c>
      <c r="D55" s="5" t="n">
        <v>24.8</v>
      </c>
      <c r="E55" s="5" t="n">
        <v>0</v>
      </c>
      <c r="F55" s="5" t="n">
        <v>4.9</v>
      </c>
    </row>
    <row r="56">
      <c r="A56" s="2" t="inlineStr">
        <is>
          <t>السمك السلمون</t>
        </is>
      </c>
      <c r="B56" s="2" t="inlineStr">
        <is>
          <t>اللحوم والدواجن والأسماك والبيض</t>
        </is>
      </c>
      <c r="C56" s="3" t="n">
        <v>177</v>
      </c>
      <c r="D56" s="3" t="n">
        <v>18</v>
      </c>
      <c r="E56" s="3" t="n">
        <v>0</v>
      </c>
      <c r="F56" s="3" t="n">
        <v>4.3</v>
      </c>
    </row>
    <row r="57">
      <c r="A57" s="4" t="inlineStr">
        <is>
          <t>الكبدة</t>
        </is>
      </c>
      <c r="B57" s="4" t="inlineStr">
        <is>
          <t>اللحوم والدواجن والأسماك والبيض</t>
        </is>
      </c>
      <c r="C57" s="5" t="n">
        <v>135</v>
      </c>
      <c r="D57" s="5" t="n">
        <v>20.4</v>
      </c>
      <c r="E57" s="5" t="n">
        <v>4</v>
      </c>
      <c r="F57" s="5" t="n">
        <v>4</v>
      </c>
    </row>
    <row r="58">
      <c r="A58" s="2" t="inlineStr">
        <is>
          <t>اللانشون</t>
        </is>
      </c>
      <c r="B58" s="2" t="inlineStr">
        <is>
          <t>اللحوم والدواجن والأسماك والبيض</t>
        </is>
      </c>
      <c r="C58" s="3" t="n">
        <v>216</v>
      </c>
      <c r="D58" s="3" t="n">
        <v>18</v>
      </c>
      <c r="E58" s="3" t="n">
        <v>4</v>
      </c>
      <c r="F58" s="3" t="n">
        <v>14</v>
      </c>
    </row>
    <row r="59">
      <c r="A59" s="4" t="inlineStr">
        <is>
          <t>بيض مسلوق</t>
        </is>
      </c>
      <c r="B59" s="4" t="inlineStr">
        <is>
          <t>اللحوم والدواجن والأسماك والبيض</t>
        </is>
      </c>
      <c r="C59" s="5" t="n">
        <v>144</v>
      </c>
      <c r="D59" s="5" t="n">
        <v>12.6</v>
      </c>
      <c r="E59" s="5" t="n">
        <v>0.4</v>
      </c>
      <c r="F59" s="5" t="n">
        <v>1.6</v>
      </c>
    </row>
    <row r="60">
      <c r="A60" s="2" t="inlineStr">
        <is>
          <t>بيض مقلي</t>
        </is>
      </c>
      <c r="B60" s="2" t="inlineStr">
        <is>
          <t>اللحوم والدواجن والأسماك والبيض</t>
        </is>
      </c>
      <c r="C60" s="3" t="n">
        <v>195.7</v>
      </c>
      <c r="D60" s="3" t="n">
        <v>13.7</v>
      </c>
      <c r="E60" s="3" t="n">
        <v>0.9</v>
      </c>
      <c r="F60" s="3" t="n">
        <v>15.2</v>
      </c>
    </row>
    <row r="61">
      <c r="A61" s="4" t="inlineStr">
        <is>
          <t>صدر بط</t>
        </is>
      </c>
      <c r="B61" s="4" t="inlineStr">
        <is>
          <t>اللحوم والدواجن والأسماك والبيض</t>
        </is>
      </c>
      <c r="C61" s="5" t="n">
        <v>133</v>
      </c>
      <c r="D61" s="5" t="n">
        <v>26.2</v>
      </c>
      <c r="E61" s="5" t="n">
        <v>0</v>
      </c>
      <c r="F61" s="5" t="n">
        <v>2.4</v>
      </c>
    </row>
    <row r="62">
      <c r="A62" s="2" t="inlineStr">
        <is>
          <t>صدور فراخ</t>
        </is>
      </c>
      <c r="B62" s="2" t="inlineStr">
        <is>
          <t>اللحوم والدواجن والأسماك والبيض</t>
        </is>
      </c>
      <c r="C62" s="3" t="n">
        <v>165</v>
      </c>
      <c r="D62" s="3" t="n">
        <v>30</v>
      </c>
      <c r="E62" s="3" t="n">
        <v>0</v>
      </c>
      <c r="F62" s="3" t="n">
        <v>4</v>
      </c>
    </row>
    <row r="63">
      <c r="A63" s="4" t="inlineStr">
        <is>
          <t>لحمة</t>
        </is>
      </c>
      <c r="B63" s="4" t="inlineStr">
        <is>
          <t>اللحوم والدواجن والأسماك والبيض</t>
        </is>
      </c>
      <c r="C63" s="5" t="n">
        <v>250</v>
      </c>
      <c r="D63" s="5" t="n">
        <v>25</v>
      </c>
      <c r="E63" s="5" t="n">
        <v>0</v>
      </c>
      <c r="F63" s="5" t="n">
        <v>13</v>
      </c>
    </row>
    <row r="64">
      <c r="A64" s="2" t="inlineStr">
        <is>
          <t>لحمة مفرومة</t>
        </is>
      </c>
      <c r="B64" s="2" t="inlineStr">
        <is>
          <t>اللحوم والدواجن والأسماك والبيض</t>
        </is>
      </c>
      <c r="C64" s="3" t="n">
        <v>176</v>
      </c>
      <c r="D64" s="3" t="n">
        <v>20</v>
      </c>
      <c r="E64" s="3" t="n">
        <v>0</v>
      </c>
      <c r="F64" s="3" t="n">
        <v>10</v>
      </c>
    </row>
    <row r="65">
      <c r="A65" s="4" t="inlineStr">
        <is>
          <t>ورك بط</t>
        </is>
      </c>
      <c r="B65" s="4" t="inlineStr">
        <is>
          <t>اللحوم والدواجن والأسماك والبيض</t>
        </is>
      </c>
      <c r="C65" s="5" t="n">
        <v>178</v>
      </c>
      <c r="D65" s="5" t="n">
        <v>29.1</v>
      </c>
      <c r="E65" s="5" t="n">
        <v>0</v>
      </c>
      <c r="F65" s="5" t="n">
        <v>6</v>
      </c>
    </row>
    <row r="66">
      <c r="A66" s="2" t="inlineStr">
        <is>
          <t>ورك فراخ</t>
        </is>
      </c>
      <c r="B66" s="2" t="inlineStr">
        <is>
          <t>اللحوم والدواجن والأسماك والبيض</t>
        </is>
      </c>
      <c r="C66" s="3" t="n">
        <v>212</v>
      </c>
      <c r="D66" s="3" t="n">
        <v>23.7</v>
      </c>
      <c r="E66" s="3" t="n">
        <v>0</v>
      </c>
      <c r="F66" s="3" t="n">
        <v>12.3</v>
      </c>
    </row>
    <row r="67">
      <c r="A67" s="4" t="inlineStr">
        <is>
          <t>الفسدق</t>
        </is>
      </c>
      <c r="B67" s="4" t="inlineStr">
        <is>
          <t>المكسرات والدهون الصحية</t>
        </is>
      </c>
      <c r="C67" s="5" t="n">
        <v>557</v>
      </c>
      <c r="D67" s="5" t="n">
        <v>20.6</v>
      </c>
      <c r="E67" s="5" t="n">
        <v>28</v>
      </c>
      <c r="F67" s="5" t="n">
        <v>44.4</v>
      </c>
    </row>
    <row r="68">
      <c r="A68" s="2" t="inlineStr">
        <is>
          <t>الفول السوداني</t>
        </is>
      </c>
      <c r="B68" s="2" t="inlineStr">
        <is>
          <t>المكسرات والدهون الصحية</t>
        </is>
      </c>
      <c r="C68" s="3" t="n">
        <v>599</v>
      </c>
      <c r="D68" s="3" t="n">
        <v>28.1</v>
      </c>
      <c r="E68" s="3" t="n">
        <v>15.3</v>
      </c>
      <c r="F68" s="3" t="n">
        <v>52.8</v>
      </c>
    </row>
    <row r="69">
      <c r="A69" s="4" t="inlineStr">
        <is>
          <t>الكاجو</t>
        </is>
      </c>
      <c r="B69" s="4" t="inlineStr">
        <is>
          <t>المكسرات والدهون الصحية</t>
        </is>
      </c>
      <c r="C69" s="5" t="n">
        <v>553</v>
      </c>
      <c r="D69" s="5" t="n">
        <v>18.3</v>
      </c>
      <c r="E69" s="5" t="n">
        <v>30.3</v>
      </c>
      <c r="F69" s="5" t="n">
        <v>55.9</v>
      </c>
    </row>
    <row r="70">
      <c r="A70" s="2" t="inlineStr">
        <is>
          <t>اللوز</t>
        </is>
      </c>
      <c r="B70" s="2" t="inlineStr">
        <is>
          <t>المكسرات والدهون الصحية</t>
        </is>
      </c>
      <c r="C70" s="3" t="n">
        <v>578</v>
      </c>
      <c r="D70" s="3" t="n">
        <v>22.2</v>
      </c>
      <c r="E70" s="3" t="n">
        <v>19.8</v>
      </c>
      <c r="F70" s="3" t="n">
        <v>51.4</v>
      </c>
    </row>
    <row r="71">
      <c r="A71" s="4" t="inlineStr">
        <is>
          <t>زبدة الفول السوداني</t>
        </is>
      </c>
      <c r="B71" s="4" t="inlineStr">
        <is>
          <t>المكسرات والدهون الصحية</t>
        </is>
      </c>
      <c r="C71" s="5" t="n">
        <v>588</v>
      </c>
      <c r="D71" s="5" t="n">
        <v>25.1</v>
      </c>
      <c r="E71" s="5" t="n">
        <v>19.6</v>
      </c>
      <c r="F71" s="5" t="n">
        <v>50.5</v>
      </c>
    </row>
    <row r="72">
      <c r="A72" s="2" t="inlineStr">
        <is>
          <t>عين الجمل</t>
        </is>
      </c>
      <c r="B72" s="2" t="inlineStr">
        <is>
          <t>المكسرات والدهون الصحية</t>
        </is>
      </c>
      <c r="C72" s="3" t="n">
        <v>654</v>
      </c>
      <c r="D72" s="3" t="n">
        <v>15.3</v>
      </c>
      <c r="E72" s="3" t="n">
        <v>13.8</v>
      </c>
      <c r="F72" s="3" t="n">
        <v>65.2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G2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4" customWidth="1" min="4" max="4"/>
    <col width="16" customWidth="1" min="5" max="5"/>
    <col width="18" customWidth="1" min="6" max="6"/>
    <col width="16" customWidth="1" min="7" max="7"/>
  </cols>
  <sheetData>
    <row r="1">
      <c r="A1" s="6" t="inlineStr">
        <is>
          <t>حاسبة الوجبات والقيم الغذائية المباشرة</t>
        </is>
      </c>
    </row>
    <row r="2">
      <c r="A2" s="7" t="inlineStr">
        <is>
          <t>اختر الصنف من القائمة المنسدلة، ثم أدخل الكمية بالجرام تحسب الماكروز والسعرات تلقائياً.</t>
        </is>
      </c>
    </row>
    <row r="4">
      <c r="A4" s="1" t="inlineStr">
        <is>
          <t>م</t>
        </is>
      </c>
      <c r="B4" s="1" t="inlineStr">
        <is>
          <t>اختر الصنف (Food Item)</t>
        </is>
      </c>
      <c r="C4" s="1" t="inlineStr">
        <is>
          <t>الوزن المطلوب (جرام)</t>
        </is>
      </c>
      <c r="D4" s="1" t="inlineStr">
        <is>
          <t>السعرات الحرارية (kcal)</t>
        </is>
      </c>
      <c r="E4" s="1" t="inlineStr">
        <is>
          <t>البروتين (g)</t>
        </is>
      </c>
      <c r="F4" s="1" t="inlineStr">
        <is>
          <t>الكربوهيدرات (g)</t>
        </is>
      </c>
      <c r="G4" s="1" t="inlineStr">
        <is>
          <t>الدهون (g)</t>
        </is>
      </c>
    </row>
    <row r="5">
      <c r="A5" s="8" t="n">
        <v>1</v>
      </c>
      <c r="B5" s="4" t="inlineStr"/>
      <c r="C5" s="5" t="inlineStr"/>
      <c r="D5" s="5">
        <f>IF(OR(B5="", C5=""), 0, ROUND(VLOOKUP(B5, 'دليل الأغذية (لكل 100ج)'!$A$2:$F$72, 3, FALSE) * (C5/100), 1))</f>
        <v/>
      </c>
      <c r="E5" s="5">
        <f>IF(OR(B5="", C5=""), 0, ROUND(VLOOKUP(B5, 'دليل الأغذية (لكل 100ج)'!$A$2:$F$72, 4, FALSE) * (C5/100), 1))</f>
        <v/>
      </c>
      <c r="F5" s="5">
        <f>IF(OR(B5="", C5=""), 0, ROUND(VLOOKUP(B5, 'دليل الأغذية (لكل 100ج)'!$A$2:$F$72, 5, FALSE) * (C5/100), 1))</f>
        <v/>
      </c>
      <c r="G5" s="5">
        <f>IF(OR(B5="", C5=""), 0, ROUND(VLOOKUP(B5, 'دليل الأغذية (لكل 100ج)'!$A$2:$F$72, 6, FALSE) * (C5/100), 1))</f>
        <v/>
      </c>
    </row>
    <row r="6">
      <c r="A6" s="9" t="n">
        <v>2</v>
      </c>
      <c r="B6" s="2" t="inlineStr"/>
      <c r="C6" s="3" t="inlineStr"/>
      <c r="D6" s="3">
        <f>IF(OR(B6="", C6=""), 0, ROUND(VLOOKUP(B6, 'دليل الأغذية (لكل 100ج)'!$A$2:$F$72, 3, FALSE) * (C6/100), 1))</f>
        <v/>
      </c>
      <c r="E6" s="3">
        <f>IF(OR(B6="", C6=""), 0, ROUND(VLOOKUP(B6, 'دليل الأغذية (لكل 100ج)'!$A$2:$F$72, 4, FALSE) * (C6/100), 1))</f>
        <v/>
      </c>
      <c r="F6" s="3">
        <f>IF(OR(B6="", C6=""), 0, ROUND(VLOOKUP(B6, 'دليل الأغذية (لكل 100ج)'!$A$2:$F$72, 5, FALSE) * (C6/100), 1))</f>
        <v/>
      </c>
      <c r="G6" s="3">
        <f>IF(OR(B6="", C6=""), 0, ROUND(VLOOKUP(B6, 'دليل الأغذية (لكل 100ج)'!$A$2:$F$72, 6, FALSE) * (C6/100), 1))</f>
        <v/>
      </c>
    </row>
    <row r="7">
      <c r="A7" s="8" t="n">
        <v>3</v>
      </c>
      <c r="B7" s="4" t="inlineStr"/>
      <c r="C7" s="5" t="inlineStr"/>
      <c r="D7" s="5">
        <f>IF(OR(B7="", C7=""), 0, ROUND(VLOOKUP(B7, 'دليل الأغذية (لكل 100ج)'!$A$2:$F$72, 3, FALSE) * (C7/100), 1))</f>
        <v/>
      </c>
      <c r="E7" s="5">
        <f>IF(OR(B7="", C7=""), 0, ROUND(VLOOKUP(B7, 'دليل الأغذية (لكل 100ج)'!$A$2:$F$72, 4, FALSE) * (C7/100), 1))</f>
        <v/>
      </c>
      <c r="F7" s="5">
        <f>IF(OR(B7="", C7=""), 0, ROUND(VLOOKUP(B7, 'دليل الأغذية (لكل 100ج)'!$A$2:$F$72, 5, FALSE) * (C7/100), 1))</f>
        <v/>
      </c>
      <c r="G7" s="5">
        <f>IF(OR(B7="", C7=""), 0, ROUND(VLOOKUP(B7, 'دليل الأغذية (لكل 100ج)'!$A$2:$F$72, 6, FALSE) * (C7/100), 1))</f>
        <v/>
      </c>
    </row>
    <row r="8">
      <c r="A8" s="9" t="n">
        <v>4</v>
      </c>
      <c r="B8" s="2" t="inlineStr"/>
      <c r="C8" s="3" t="inlineStr"/>
      <c r="D8" s="3">
        <f>IF(OR(B8="", C8=""), 0, ROUND(VLOOKUP(B8, 'دليل الأغذية (لكل 100ج)'!$A$2:$F$72, 3, FALSE) * (C8/100), 1))</f>
        <v/>
      </c>
      <c r="E8" s="3">
        <f>IF(OR(B8="", C8=""), 0, ROUND(VLOOKUP(B8, 'دليل الأغذية (لكل 100ج)'!$A$2:$F$72, 4, FALSE) * (C8/100), 1))</f>
        <v/>
      </c>
      <c r="F8" s="3">
        <f>IF(OR(B8="", C8=""), 0, ROUND(VLOOKUP(B8, 'دليل الأغذية (لكل 100ج)'!$A$2:$F$72, 5, FALSE) * (C8/100), 1))</f>
        <v/>
      </c>
      <c r="G8" s="3">
        <f>IF(OR(B8="", C8=""), 0, ROUND(VLOOKUP(B8, 'دليل الأغذية (لكل 100ج)'!$A$2:$F$72, 6, FALSE) * (C8/100), 1))</f>
        <v/>
      </c>
    </row>
    <row r="9">
      <c r="A9" s="8" t="n">
        <v>5</v>
      </c>
      <c r="B9" s="4" t="inlineStr"/>
      <c r="C9" s="5" t="inlineStr"/>
      <c r="D9" s="5">
        <f>IF(OR(B9="", C9=""), 0, ROUND(VLOOKUP(B9, 'دليل الأغذية (لكل 100ج)'!$A$2:$F$72, 3, FALSE) * (C9/100), 1))</f>
        <v/>
      </c>
      <c r="E9" s="5">
        <f>IF(OR(B9="", C9=""), 0, ROUND(VLOOKUP(B9, 'دليل الأغذية (لكل 100ج)'!$A$2:$F$72, 4, FALSE) * (C9/100), 1))</f>
        <v/>
      </c>
      <c r="F9" s="5">
        <f>IF(OR(B9="", C9=""), 0, ROUND(VLOOKUP(B9, 'دليل الأغذية (لكل 100ج)'!$A$2:$F$72, 5, FALSE) * (C9/100), 1))</f>
        <v/>
      </c>
      <c r="G9" s="5">
        <f>IF(OR(B9="", C9=""), 0, ROUND(VLOOKUP(B9, 'دليل الأغذية (لكل 100ج)'!$A$2:$F$72, 6, FALSE) * (C9/100), 1))</f>
        <v/>
      </c>
    </row>
    <row r="10">
      <c r="A10" s="9" t="n">
        <v>6</v>
      </c>
      <c r="B10" s="2" t="inlineStr"/>
      <c r="C10" s="3" t="inlineStr"/>
      <c r="D10" s="3">
        <f>IF(OR(B10="", C10=""), 0, ROUND(VLOOKUP(B10, 'دليل الأغذية (لكل 100ج)'!$A$2:$F$72, 3, FALSE) * (C10/100), 1))</f>
        <v/>
      </c>
      <c r="E10" s="3">
        <f>IF(OR(B10="", C10=""), 0, ROUND(VLOOKUP(B10, 'دليل الأغذية (لكل 100ج)'!$A$2:$F$72, 4, FALSE) * (C10/100), 1))</f>
        <v/>
      </c>
      <c r="F10" s="3">
        <f>IF(OR(B10="", C10=""), 0, ROUND(VLOOKUP(B10, 'دليل الأغذية (لكل 100ج)'!$A$2:$F$72, 5, FALSE) * (C10/100), 1))</f>
        <v/>
      </c>
      <c r="G10" s="3">
        <f>IF(OR(B10="", C10=""), 0, ROUND(VLOOKUP(B10, 'دليل الأغذية (لكل 100ج)'!$A$2:$F$72, 6, FALSE) * (C10/100), 1))</f>
        <v/>
      </c>
    </row>
    <row r="11">
      <c r="A11" s="8" t="n">
        <v>7</v>
      </c>
      <c r="B11" s="4" t="inlineStr"/>
      <c r="C11" s="5" t="inlineStr"/>
      <c r="D11" s="5">
        <f>IF(OR(B11="", C11=""), 0, ROUND(VLOOKUP(B11, 'دليل الأغذية (لكل 100ج)'!$A$2:$F$72, 3, FALSE) * (C11/100), 1))</f>
        <v/>
      </c>
      <c r="E11" s="5">
        <f>IF(OR(B11="", C11=""), 0, ROUND(VLOOKUP(B11, 'دليل الأغذية (لكل 100ج)'!$A$2:$F$72, 4, FALSE) * (C11/100), 1))</f>
        <v/>
      </c>
      <c r="F11" s="5">
        <f>IF(OR(B11="", C11=""), 0, ROUND(VLOOKUP(B11, 'دليل الأغذية (لكل 100ج)'!$A$2:$F$72, 5, FALSE) * (C11/100), 1))</f>
        <v/>
      </c>
      <c r="G11" s="5">
        <f>IF(OR(B11="", C11=""), 0, ROUND(VLOOKUP(B11, 'دليل الأغذية (لكل 100ج)'!$A$2:$F$72, 6, FALSE) * (C11/100), 1))</f>
        <v/>
      </c>
    </row>
    <row r="12">
      <c r="A12" s="9" t="n">
        <v>8</v>
      </c>
      <c r="B12" s="2" t="inlineStr"/>
      <c r="C12" s="3" t="inlineStr"/>
      <c r="D12" s="3">
        <f>IF(OR(B12="", C12=""), 0, ROUND(VLOOKUP(B12, 'دليل الأغذية (لكل 100ج)'!$A$2:$F$72, 3, FALSE) * (C12/100), 1))</f>
        <v/>
      </c>
      <c r="E12" s="3">
        <f>IF(OR(B12="", C12=""), 0, ROUND(VLOOKUP(B12, 'دليل الأغذية (لكل 100ج)'!$A$2:$F$72, 4, FALSE) * (C12/100), 1))</f>
        <v/>
      </c>
      <c r="F12" s="3">
        <f>IF(OR(B12="", C12=""), 0, ROUND(VLOOKUP(B12, 'دليل الأغذية (لكل 100ج)'!$A$2:$F$72, 5, FALSE) * (C12/100), 1))</f>
        <v/>
      </c>
      <c r="G12" s="3">
        <f>IF(OR(B12="", C12=""), 0, ROUND(VLOOKUP(B12, 'دليل الأغذية (لكل 100ج)'!$A$2:$F$72, 6, FALSE) * (C12/100), 1))</f>
        <v/>
      </c>
    </row>
    <row r="13">
      <c r="A13" s="8" t="n">
        <v>9</v>
      </c>
      <c r="B13" s="4" t="inlineStr"/>
      <c r="C13" s="5" t="inlineStr"/>
      <c r="D13" s="5">
        <f>IF(OR(B13="", C13=""), 0, ROUND(VLOOKUP(B13, 'دليل الأغذية (لكل 100ج)'!$A$2:$F$72, 3, FALSE) * (C13/100), 1))</f>
        <v/>
      </c>
      <c r="E13" s="5">
        <f>IF(OR(B13="", C13=""), 0, ROUND(VLOOKUP(B13, 'دليل الأغذية (لكل 100ج)'!$A$2:$F$72, 4, FALSE) * (C13/100), 1))</f>
        <v/>
      </c>
      <c r="F13" s="5">
        <f>IF(OR(B13="", C13=""), 0, ROUND(VLOOKUP(B13, 'دليل الأغذية (لكل 100ج)'!$A$2:$F$72, 5, FALSE) * (C13/100), 1))</f>
        <v/>
      </c>
      <c r="G13" s="5">
        <f>IF(OR(B13="", C13=""), 0, ROUND(VLOOKUP(B13, 'دليل الأغذية (لكل 100ج)'!$A$2:$F$72, 6, FALSE) * (C13/100), 1))</f>
        <v/>
      </c>
    </row>
    <row r="14">
      <c r="A14" s="9" t="n">
        <v>10</v>
      </c>
      <c r="B14" s="2" t="inlineStr"/>
      <c r="C14" s="3" t="inlineStr"/>
      <c r="D14" s="3">
        <f>IF(OR(B14="", C14=""), 0, ROUND(VLOOKUP(B14, 'دليل الأغذية (لكل 100ج)'!$A$2:$F$72, 3, FALSE) * (C14/100), 1))</f>
        <v/>
      </c>
      <c r="E14" s="3">
        <f>IF(OR(B14="", C14=""), 0, ROUND(VLOOKUP(B14, 'دليل الأغذية (لكل 100ج)'!$A$2:$F$72, 4, FALSE) * (C14/100), 1))</f>
        <v/>
      </c>
      <c r="F14" s="3">
        <f>IF(OR(B14="", C14=""), 0, ROUND(VLOOKUP(B14, 'دليل الأغذية (لكل 100ج)'!$A$2:$F$72, 5, FALSE) * (C14/100), 1))</f>
        <v/>
      </c>
      <c r="G14" s="3">
        <f>IF(OR(B14="", C14=""), 0, ROUND(VLOOKUP(B14, 'دليل الأغذية (لكل 100ج)'!$A$2:$F$72, 6, FALSE) * (C14/100), 1))</f>
        <v/>
      </c>
    </row>
    <row r="15">
      <c r="A15" s="8" t="n">
        <v>11</v>
      </c>
      <c r="B15" s="4" t="inlineStr"/>
      <c r="C15" s="5" t="inlineStr"/>
      <c r="D15" s="5">
        <f>IF(OR(B15="", C15=""), 0, ROUND(VLOOKUP(B15, 'دليل الأغذية (لكل 100ج)'!$A$2:$F$72, 3, FALSE) * (C15/100), 1))</f>
        <v/>
      </c>
      <c r="E15" s="5">
        <f>IF(OR(B15="", C15=""), 0, ROUND(VLOOKUP(B15, 'دليل الأغذية (لكل 100ج)'!$A$2:$F$72, 4, FALSE) * (C15/100), 1))</f>
        <v/>
      </c>
      <c r="F15" s="5">
        <f>IF(OR(B15="", C15=""), 0, ROUND(VLOOKUP(B15, 'دليل الأغذية (لكل 100ج)'!$A$2:$F$72, 5, FALSE) * (C15/100), 1))</f>
        <v/>
      </c>
      <c r="G15" s="5">
        <f>IF(OR(B15="", C15=""), 0, ROUND(VLOOKUP(B15, 'دليل الأغذية (لكل 100ج)'!$A$2:$F$72, 6, FALSE) * (C15/100), 1))</f>
        <v/>
      </c>
    </row>
    <row r="16">
      <c r="A16" s="9" t="n">
        <v>12</v>
      </c>
      <c r="B16" s="2" t="inlineStr"/>
      <c r="C16" s="3" t="inlineStr"/>
      <c r="D16" s="3">
        <f>IF(OR(B16="", C16=""), 0, ROUND(VLOOKUP(B16, 'دليل الأغذية (لكل 100ج)'!$A$2:$F$72, 3, FALSE) * (C16/100), 1))</f>
        <v/>
      </c>
      <c r="E16" s="3">
        <f>IF(OR(B16="", C16=""), 0, ROUND(VLOOKUP(B16, 'دليل الأغذية (لكل 100ج)'!$A$2:$F$72, 4, FALSE) * (C16/100), 1))</f>
        <v/>
      </c>
      <c r="F16" s="3">
        <f>IF(OR(B16="", C16=""), 0, ROUND(VLOOKUP(B16, 'دليل الأغذية (لكل 100ج)'!$A$2:$F$72, 5, FALSE) * (C16/100), 1))</f>
        <v/>
      </c>
      <c r="G16" s="3">
        <f>IF(OR(B16="", C16=""), 0, ROUND(VLOOKUP(B16, 'دليل الأغذية (لكل 100ج)'!$A$2:$F$72, 6, FALSE) * (C16/100), 1))</f>
        <v/>
      </c>
    </row>
    <row r="17">
      <c r="A17" s="8" t="n">
        <v>13</v>
      </c>
      <c r="B17" s="4" t="inlineStr"/>
      <c r="C17" s="5" t="inlineStr"/>
      <c r="D17" s="5">
        <f>IF(OR(B17="", C17=""), 0, ROUND(VLOOKUP(B17, 'دليل الأغذية (لكل 100ج)'!$A$2:$F$72, 3, FALSE) * (C17/100), 1))</f>
        <v/>
      </c>
      <c r="E17" s="5">
        <f>IF(OR(B17="", C17=""), 0, ROUND(VLOOKUP(B17, 'دليل الأغذية (لكل 100ج)'!$A$2:$F$72, 4, FALSE) * (C17/100), 1))</f>
        <v/>
      </c>
      <c r="F17" s="5">
        <f>IF(OR(B17="", C17=""), 0, ROUND(VLOOKUP(B17, 'دليل الأغذية (لكل 100ج)'!$A$2:$F$72, 5, FALSE) * (C17/100), 1))</f>
        <v/>
      </c>
      <c r="G17" s="5">
        <f>IF(OR(B17="", C17=""), 0, ROUND(VLOOKUP(B17, 'دليل الأغذية (لكل 100ج)'!$A$2:$F$72, 6, FALSE) * (C17/100), 1))</f>
        <v/>
      </c>
    </row>
    <row r="18">
      <c r="A18" s="9" t="n">
        <v>14</v>
      </c>
      <c r="B18" s="2" t="inlineStr"/>
      <c r="C18" s="3" t="inlineStr"/>
      <c r="D18" s="3">
        <f>IF(OR(B18="", C18=""), 0, ROUND(VLOOKUP(B18, 'دليل الأغذية (لكل 100ج)'!$A$2:$F$72, 3, FALSE) * (C18/100), 1))</f>
        <v/>
      </c>
      <c r="E18" s="3">
        <f>IF(OR(B18="", C18=""), 0, ROUND(VLOOKUP(B18, 'دليل الأغذية (لكل 100ج)'!$A$2:$F$72, 4, FALSE) * (C18/100), 1))</f>
        <v/>
      </c>
      <c r="F18" s="3">
        <f>IF(OR(B18="", C18=""), 0, ROUND(VLOOKUP(B18, 'دليل الأغذية (لكل 100ج)'!$A$2:$F$72, 5, FALSE) * (C18/100), 1))</f>
        <v/>
      </c>
      <c r="G18" s="3">
        <f>IF(OR(B18="", C18=""), 0, ROUND(VLOOKUP(B18, 'دليل الأغذية (لكل 100ج)'!$A$2:$F$72, 6, FALSE) * (C18/100), 1))</f>
        <v/>
      </c>
    </row>
    <row r="19">
      <c r="A19" s="8" t="n">
        <v>15</v>
      </c>
      <c r="B19" s="4" t="inlineStr"/>
      <c r="C19" s="5" t="inlineStr"/>
      <c r="D19" s="5">
        <f>IF(OR(B19="", C19=""), 0, ROUND(VLOOKUP(B19, 'دليل الأغذية (لكل 100ج)'!$A$2:$F$72, 3, FALSE) * (C19/100), 1))</f>
        <v/>
      </c>
      <c r="E19" s="5">
        <f>IF(OR(B19="", C19=""), 0, ROUND(VLOOKUP(B19, 'دليل الأغذية (لكل 100ج)'!$A$2:$F$72, 4, FALSE) * (C19/100), 1))</f>
        <v/>
      </c>
      <c r="F19" s="5">
        <f>IF(OR(B19="", C19=""), 0, ROUND(VLOOKUP(B19, 'دليل الأغذية (لكل 100ج)'!$A$2:$F$72, 5, FALSE) * (C19/100), 1))</f>
        <v/>
      </c>
      <c r="G19" s="5">
        <f>IF(OR(B19="", C19=""), 0, ROUND(VLOOKUP(B19, 'دليل الأغذية (لكل 100ج)'!$A$2:$F$72, 6, FALSE) * (C19/100), 1))</f>
        <v/>
      </c>
    </row>
    <row r="20">
      <c r="A20" s="9" t="n">
        <v>16</v>
      </c>
      <c r="B20" s="2" t="inlineStr"/>
      <c r="C20" s="3" t="inlineStr"/>
      <c r="D20" s="3">
        <f>IF(OR(B20="", C20=""), 0, ROUND(VLOOKUP(B20, 'دليل الأغذية (لكل 100ج)'!$A$2:$F$72, 3, FALSE) * (C20/100), 1))</f>
        <v/>
      </c>
      <c r="E20" s="3">
        <f>IF(OR(B20="", C20=""), 0, ROUND(VLOOKUP(B20, 'دليل الأغذية (لكل 100ج)'!$A$2:$F$72, 4, FALSE) * (C20/100), 1))</f>
        <v/>
      </c>
      <c r="F20" s="3">
        <f>IF(OR(B20="", C20=""), 0, ROUND(VLOOKUP(B20, 'دليل الأغذية (لكل 100ج)'!$A$2:$F$72, 5, FALSE) * (C20/100), 1))</f>
        <v/>
      </c>
      <c r="G20" s="3">
        <f>IF(OR(B20="", C20=""), 0, ROUND(VLOOKUP(B20, 'دليل الأغذية (لكل 100ج)'!$A$2:$F$72, 6, FALSE) * (C20/100), 1))</f>
        <v/>
      </c>
    </row>
    <row r="21">
      <c r="A21" s="8" t="n">
        <v>17</v>
      </c>
      <c r="B21" s="4" t="inlineStr"/>
      <c r="C21" s="5" t="inlineStr"/>
      <c r="D21" s="5">
        <f>IF(OR(B21="", C21=""), 0, ROUND(VLOOKUP(B21, 'دليل الأغذية (لكل 100ج)'!$A$2:$F$72, 3, FALSE) * (C21/100), 1))</f>
        <v/>
      </c>
      <c r="E21" s="5">
        <f>IF(OR(B21="", C21=""), 0, ROUND(VLOOKUP(B21, 'دليل الأغذية (لكل 100ج)'!$A$2:$F$72, 4, FALSE) * (C21/100), 1))</f>
        <v/>
      </c>
      <c r="F21" s="5">
        <f>IF(OR(B21="", C21=""), 0, ROUND(VLOOKUP(B21, 'دليل الأغذية (لكل 100ج)'!$A$2:$F$72, 5, FALSE) * (C21/100), 1))</f>
        <v/>
      </c>
      <c r="G21" s="5">
        <f>IF(OR(B21="", C21=""), 0, ROUND(VLOOKUP(B21, 'دليل الأغذية (لكل 100ج)'!$A$2:$F$72, 6, FALSE) * (C21/100), 1))</f>
        <v/>
      </c>
    </row>
    <row r="22">
      <c r="A22" s="9" t="n">
        <v>18</v>
      </c>
      <c r="B22" s="2" t="inlineStr"/>
      <c r="C22" s="3" t="inlineStr"/>
      <c r="D22" s="3">
        <f>IF(OR(B22="", C22=""), 0, ROUND(VLOOKUP(B22, 'دليل الأغذية (لكل 100ج)'!$A$2:$F$72, 3, FALSE) * (C22/100), 1))</f>
        <v/>
      </c>
      <c r="E22" s="3">
        <f>IF(OR(B22="", C22=""), 0, ROUND(VLOOKUP(B22, 'دليل الأغذية (لكل 100ج)'!$A$2:$F$72, 4, FALSE) * (C22/100), 1))</f>
        <v/>
      </c>
      <c r="F22" s="3">
        <f>IF(OR(B22="", C22=""), 0, ROUND(VLOOKUP(B22, 'دليل الأغذية (لكل 100ج)'!$A$2:$F$72, 5, FALSE) * (C22/100), 1))</f>
        <v/>
      </c>
      <c r="G22" s="3">
        <f>IF(OR(B22="", C22=""), 0, ROUND(VLOOKUP(B22, 'دليل الأغذية (لكل 100ج)'!$A$2:$F$72, 6, FALSE) * (C22/100), 1))</f>
        <v/>
      </c>
    </row>
    <row r="23">
      <c r="A23" s="8" t="n">
        <v>19</v>
      </c>
      <c r="B23" s="4" t="inlineStr"/>
      <c r="C23" s="5" t="inlineStr"/>
      <c r="D23" s="5">
        <f>IF(OR(B23="", C23=""), 0, ROUND(VLOOKUP(B23, 'دليل الأغذية (لكل 100ج)'!$A$2:$F$72, 3, FALSE) * (C23/100), 1))</f>
        <v/>
      </c>
      <c r="E23" s="5">
        <f>IF(OR(B23="", C23=""), 0, ROUND(VLOOKUP(B23, 'دليل الأغذية (لكل 100ج)'!$A$2:$F$72, 4, FALSE) * (C23/100), 1))</f>
        <v/>
      </c>
      <c r="F23" s="5">
        <f>IF(OR(B23="", C23=""), 0, ROUND(VLOOKUP(B23, 'دليل الأغذية (لكل 100ج)'!$A$2:$F$72, 5, FALSE) * (C23/100), 1))</f>
        <v/>
      </c>
      <c r="G23" s="5">
        <f>IF(OR(B23="", C23=""), 0, ROUND(VLOOKUP(B23, 'دليل الأغذية (لكل 100ج)'!$A$2:$F$72, 6, FALSE) * (C23/100), 1))</f>
        <v/>
      </c>
    </row>
    <row r="24">
      <c r="A24" s="9" t="n">
        <v>20</v>
      </c>
      <c r="B24" s="2" t="inlineStr"/>
      <c r="C24" s="3" t="inlineStr"/>
      <c r="D24" s="3">
        <f>IF(OR(B24="", C24=""), 0, ROUND(VLOOKUP(B24, 'دليل الأغذية (لكل 100ج)'!$A$2:$F$72, 3, FALSE) * (C24/100), 1))</f>
        <v/>
      </c>
      <c r="E24" s="3">
        <f>IF(OR(B24="", C24=""), 0, ROUND(VLOOKUP(B24, 'دليل الأغذية (لكل 100ج)'!$A$2:$F$72, 4, FALSE) * (C24/100), 1))</f>
        <v/>
      </c>
      <c r="F24" s="3">
        <f>IF(OR(B24="", C24=""), 0, ROUND(VLOOKUP(B24, 'دليل الأغذية (لكل 100ج)'!$A$2:$F$72, 5, FALSE) * (C24/100), 1))</f>
        <v/>
      </c>
      <c r="G24" s="3">
        <f>IF(OR(B24="", C24=""), 0, ROUND(VLOOKUP(B24, 'دليل الأغذية (لكل 100ج)'!$A$2:$F$72, 6, FALSE) * (C24/100), 1))</f>
        <v/>
      </c>
    </row>
    <row r="25">
      <c r="A25" s="10" t="inlineStr">
        <is>
          <t>المجموع الكلي للوجبات</t>
        </is>
      </c>
      <c r="B25" s="10" t="n"/>
      <c r="C25" s="11">
        <f>SUM(C5:C24)</f>
        <v/>
      </c>
      <c r="D25" s="11">
        <f>SUM(D5:D24)</f>
        <v/>
      </c>
      <c r="E25" s="11">
        <f>SUM(E5:E24)</f>
        <v/>
      </c>
      <c r="F25" s="11">
        <f>SUM(F5:F24)</f>
        <v/>
      </c>
      <c r="G25" s="11">
        <f>SUM(G5:G24)</f>
        <v/>
      </c>
    </row>
  </sheetData>
  <mergeCells count="3">
    <mergeCell ref="A25:B25"/>
    <mergeCell ref="A2:G2"/>
    <mergeCell ref="A1:G1"/>
  </mergeCells>
  <dataValidations count="1">
    <dataValidation sqref="B5:B24" showDropDown="0" showInputMessage="0" showErrorMessage="0" allowBlank="1" type="list">
      <formula1>'دليل الأغذية (لكل 100ج)'!$A$2:$A$72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2026-08-05T21:14:14Z</dcterms:created>
  <dcterms:modified xmlns:dcterms="http://purl.org/dc/terms/" xmlns:xsi="http://www.w3.org/2001/XMLSchema-instance" xsi:type="dcterms:W3CDTF">2026-08-05T21:14:14Z</dcterms:modified>
</cp:coreProperties>
</file>